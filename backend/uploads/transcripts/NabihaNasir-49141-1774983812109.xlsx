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iana\Documents\nabihanasirdocs\"/>
    </mc:Choice>
  </mc:AlternateContent>
  <bookViews>
    <workbookView xWindow="0" yWindow="0" windowWidth="19200" windowHeight="6930"/>
  </bookViews>
  <sheets>
    <sheet name="Result Record" sheetId="1" r:id="rId1"/>
    <sheet name="Transcript calculator" sheetId="2" r:id="rId2"/>
  </sheets>
  <calcPr calcId="162913"/>
  <extLst>
    <ext uri="GoogleSheetsCustomDataVersion2">
      <go:sheetsCustomData xmlns:go="http://customooxmlschemas.google.com/" r:id="rId6" roundtripDataChecksum="eCf9607bwz37eW/VsZ6yb9uJJV5jle/HIVNIRhgSGqc="/>
    </ext>
  </extLst>
</workbook>
</file>

<file path=xl/calcChain.xml><?xml version="1.0" encoding="utf-8"?>
<calcChain xmlns="http://schemas.openxmlformats.org/spreadsheetml/2006/main">
  <c r="D54" i="1" l="1"/>
  <c r="D44" i="1"/>
  <c r="D22" i="1"/>
  <c r="D11" i="1"/>
  <c r="G6" i="1" l="1"/>
  <c r="D81" i="2"/>
  <c r="H11" i="2" s="1"/>
  <c r="I11" i="2" s="1"/>
  <c r="C81" i="2"/>
  <c r="A77" i="2"/>
  <c r="A78" i="2" s="1"/>
  <c r="D74" i="2"/>
  <c r="H10" i="2" s="1"/>
  <c r="I10" i="2" s="1"/>
  <c r="C74" i="2"/>
  <c r="A67" i="2"/>
  <c r="A68" i="2" s="1"/>
  <c r="D62" i="2"/>
  <c r="C62" i="2"/>
  <c r="D53" i="2"/>
  <c r="A37" i="2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D34" i="2"/>
  <c r="H7" i="2" s="1"/>
  <c r="I7" i="2" s="1"/>
  <c r="C34" i="2"/>
  <c r="D24" i="2"/>
  <c r="H6" i="2" s="1"/>
  <c r="I6" i="2" s="1"/>
  <c r="C24" i="2"/>
  <c r="D16" i="2"/>
  <c r="H5" i="2" s="1"/>
  <c r="I5" i="2" s="1"/>
  <c r="C16" i="2"/>
  <c r="G13" i="2"/>
  <c r="H9" i="2"/>
  <c r="I9" i="2" s="1"/>
  <c r="H8" i="2"/>
  <c r="I8" i="2" s="1"/>
  <c r="A5" i="2"/>
  <c r="A6" i="2" s="1"/>
  <c r="A7" i="2" s="1"/>
  <c r="A8" i="2" s="1"/>
  <c r="A9" i="2" s="1"/>
  <c r="A10" i="2" s="1"/>
  <c r="A11" i="2" s="1"/>
  <c r="A12" i="2" s="1"/>
  <c r="A13" i="2" s="1"/>
  <c r="A14" i="2" s="1"/>
  <c r="D33" i="1"/>
  <c r="I13" i="2" l="1"/>
  <c r="H13" i="2"/>
</calcChain>
</file>

<file path=xl/sharedStrings.xml><?xml version="1.0" encoding="utf-8"?>
<sst xmlns="http://schemas.openxmlformats.org/spreadsheetml/2006/main" count="182" uniqueCount="116">
  <si>
    <t>Student Name:</t>
  </si>
  <si>
    <t>Semester 1</t>
  </si>
  <si>
    <t>Courses</t>
  </si>
  <si>
    <t>Grade</t>
  </si>
  <si>
    <t>A+</t>
  </si>
  <si>
    <t>Discrete structure</t>
  </si>
  <si>
    <t>A</t>
  </si>
  <si>
    <t>Applied Physics</t>
  </si>
  <si>
    <t xml:space="preserve">English Composition and Comprehension </t>
  </si>
  <si>
    <t>Programming Fundamentals</t>
  </si>
  <si>
    <t>Semester 2</t>
  </si>
  <si>
    <t>Grades</t>
  </si>
  <si>
    <t>Credit Hours</t>
  </si>
  <si>
    <t>take all courses</t>
  </si>
  <si>
    <t>Introduction To Software Engineering</t>
  </si>
  <si>
    <t>Object Oriented Programming</t>
  </si>
  <si>
    <t>Calculus &amp; Analytical Geometry</t>
  </si>
  <si>
    <t>B</t>
  </si>
  <si>
    <t>Presentation &amp; Communication Skills</t>
  </si>
  <si>
    <t>Sociology</t>
  </si>
  <si>
    <t>Semester 3</t>
  </si>
  <si>
    <t>Data Structures and Algorithm</t>
  </si>
  <si>
    <t>Software Requirements Engineering</t>
  </si>
  <si>
    <t>Graphic Designing</t>
  </si>
  <si>
    <t>Introduction to Psychology</t>
  </si>
  <si>
    <t>Linear Algebra</t>
  </si>
  <si>
    <t>Islamic Studies</t>
  </si>
  <si>
    <t>GPA</t>
  </si>
  <si>
    <t>Semester 4</t>
  </si>
  <si>
    <t>Operating System</t>
  </si>
  <si>
    <t>Database System</t>
  </si>
  <si>
    <t>Human Computer Interaction</t>
  </si>
  <si>
    <t>Introduction to Basic Teachings of thhe Qura'n</t>
  </si>
  <si>
    <t>Probability &amp; Statistics</t>
  </si>
  <si>
    <t>Semester 5</t>
  </si>
  <si>
    <t>Web Engineering</t>
  </si>
  <si>
    <t>Software Construction and Development</t>
  </si>
  <si>
    <t>Mobile Application Development</t>
  </si>
  <si>
    <t>Introduction To Machine Learning</t>
  </si>
  <si>
    <t>Introduction To Hadees And Seerah</t>
  </si>
  <si>
    <t>Operations  Research</t>
  </si>
  <si>
    <t>Software Quality Engineering</t>
  </si>
  <si>
    <t>Advance Computer Programming</t>
  </si>
  <si>
    <t>Software Design &amp; Architecture</t>
  </si>
  <si>
    <t>Software Project Management</t>
  </si>
  <si>
    <t xml:space="preserve">Syeda Waiza </t>
  </si>
  <si>
    <t>Sr#</t>
  </si>
  <si>
    <t>Core Computing</t>
  </si>
  <si>
    <t>Cr. Hrs</t>
  </si>
  <si>
    <t>Discrete Structures</t>
  </si>
  <si>
    <t>Course Category</t>
  </si>
  <si>
    <t>Required Credit Hours</t>
  </si>
  <si>
    <t>Completed  Credit Hours</t>
  </si>
  <si>
    <t>Remaining Credit Hours</t>
  </si>
  <si>
    <t>Mathematics and Science Foundation Courses</t>
  </si>
  <si>
    <t>Introduction to Software Engineering</t>
  </si>
  <si>
    <t>SE Core</t>
  </si>
  <si>
    <t>Data Structures &amp; Algorithms</t>
  </si>
  <si>
    <t>SE Elective</t>
  </si>
  <si>
    <t>Introduction to DataBase Systems</t>
  </si>
  <si>
    <t xml:space="preserve">General Education </t>
  </si>
  <si>
    <t>Operating Systems</t>
  </si>
  <si>
    <t>university elective</t>
  </si>
  <si>
    <t>Computer Communication &amp; Networks</t>
  </si>
  <si>
    <t>SE Supporting</t>
  </si>
  <si>
    <t>Senior Design Project-I</t>
  </si>
  <si>
    <t>Senior Design Project-II</t>
  </si>
  <si>
    <t>Total</t>
  </si>
  <si>
    <t>Information Security</t>
  </si>
  <si>
    <t>Total:</t>
  </si>
  <si>
    <t>Pre-Calculus-1</t>
  </si>
  <si>
    <t>Pre-Calculus-2</t>
  </si>
  <si>
    <t>Software Construction and Developent</t>
  </si>
  <si>
    <t>Software Re-Engineering</t>
  </si>
  <si>
    <t>Computer Organization &amp; Architecture</t>
  </si>
  <si>
    <t>Data Communication</t>
  </si>
  <si>
    <t>Analysis of Algorithms</t>
  </si>
  <si>
    <t>Web Programming</t>
  </si>
  <si>
    <t>Secure Software Development</t>
  </si>
  <si>
    <t>Software Development Technologies</t>
  </si>
  <si>
    <t>System Analysis and Design</t>
  </si>
  <si>
    <t>Web design and development</t>
  </si>
  <si>
    <t>3D Computer Animation</t>
  </si>
  <si>
    <t>Business Process Modeling</t>
  </si>
  <si>
    <t>Advanced Web Development</t>
  </si>
  <si>
    <t>Theory of Automata</t>
  </si>
  <si>
    <t>Introruction to ML</t>
  </si>
  <si>
    <t>Cyber Security</t>
  </si>
  <si>
    <t>Rapid web development</t>
  </si>
  <si>
    <t>General Education Core</t>
  </si>
  <si>
    <t>Introduction to Information &amp; Communication Technology</t>
  </si>
  <si>
    <t>English Composition and Comprehension</t>
  </si>
  <si>
    <t>Life &amp; Living-I(Islamic Studies)</t>
  </si>
  <si>
    <t>Communication and Presentation Skills</t>
  </si>
  <si>
    <t>Life &amp; Living-Il : Pakistan Studies (</t>
  </si>
  <si>
    <t>Technical &amp; Business Writing</t>
  </si>
  <si>
    <t>Professional Practice</t>
  </si>
  <si>
    <t>University Elective</t>
  </si>
  <si>
    <t>Graphic Design</t>
  </si>
  <si>
    <t>Principles of Marketting</t>
  </si>
  <si>
    <t>Principles of Management</t>
  </si>
  <si>
    <t>Foreign Language</t>
  </si>
  <si>
    <t>Introduction To Social Media Marketing</t>
  </si>
  <si>
    <t>Personality Effectiveness</t>
  </si>
  <si>
    <t>University Elective - II (Life &amp; Living-III: Introduction to the Basic Teachings of the Qura'n 2 Credit Hours)</t>
  </si>
  <si>
    <t>Operations Research</t>
  </si>
  <si>
    <t>Formal Methods in SE</t>
  </si>
  <si>
    <t>Intro to information and communication</t>
  </si>
  <si>
    <t xml:space="preserve"> Pakistan Studies</t>
  </si>
  <si>
    <t>Graphics and Animation</t>
  </si>
  <si>
    <t xml:space="preserve">CGPA </t>
  </si>
  <si>
    <t>Nabiha Nasir</t>
  </si>
  <si>
    <t>Sap ID = 49141</t>
  </si>
  <si>
    <t>3.90/4</t>
  </si>
  <si>
    <t>3.86/4</t>
  </si>
  <si>
    <t>3.95/4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</si>
</sst>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"/>
  </numFmts>
  <fonts count="13">
    <font>
      <sz val="11"/>
      <color theme="1"/>
      <name val="Calibri"/>
      <scheme val="minor"/>
    </font>
    <font>
      <b/>
      <sz val="14"/>
      <color rgb="FF000000"/>
      <name val="Calibri"/>
    </font>
    <font>
      <sz val="11"/>
      <name val="Calibri"/>
    </font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  <scheme val="minor"/>
    </font>
    <font>
      <sz val="11"/>
      <color rgb="FF000000"/>
      <name val="Docs-Calibri"/>
    </font>
    <font>
      <sz val="11"/>
      <color theme="1"/>
      <name val="Calibri"/>
    </font>
    <font>
      <sz val="11"/>
      <color rgb="FF000000"/>
      <name val="Calibri"/>
    </font>
    <font>
      <sz val="14"/>
      <color rgb="FF000000"/>
      <name val="Calibri"/>
    </font>
    <font>
      <sz val="14"/>
      <color theme="1"/>
      <name val="Arial"/>
    </font>
    <font>
      <b/>
      <sz val="14"/>
      <color theme="1"/>
      <name val="Arial"/>
    </font>
  </fonts>
  <fills count="17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theme="4"/>
        <bgColor theme="4"/>
      </patternFill>
    </fill>
    <fill>
      <patternFill patternType="solid">
        <fgColor rgb="FFF4CCCC"/>
        <bgColor rgb="FFF4CCCC"/>
      </patternFill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EA9999"/>
        <bgColor rgb="FFEA9999"/>
      </patternFill>
    </fill>
    <fill>
      <patternFill patternType="solid">
        <fgColor rgb="FFD0E0E3"/>
        <bgColor rgb="FFD0E0E3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rgb="FFEA9999"/>
      </patternFill>
    </fill>
  </fills>
  <borders count="1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xfId="0" applyFont="1" applyAlignment="1"/>
    <xf numFmtId="0" fontId="3" fillId="0" borderId="0" xfId="0" applyFont="1" applyAlignme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center" wrapText="1"/>
    </xf>
    <xf numFmtId="0" fontId="3" fillId="0" borderId="0" xfId="0" applyFont="1"/>
    <xf numFmtId="0" fontId="6" fillId="0" borderId="0" xfId="0" applyFont="1" applyAlignment="1"/>
    <xf numFmtId="0" fontId="7" fillId="6" borderId="0" xfId="0" applyFont="1" applyFill="1" applyAlignment="1">
      <alignment horizontal="left"/>
    </xf>
    <xf numFmtId="0" fontId="3" fillId="7" borderId="0" xfId="0" applyFont="1" applyFill="1" applyAlignment="1"/>
    <xf numFmtId="0" fontId="3" fillId="8" borderId="0" xfId="0" applyFont="1" applyFill="1" applyAlignment="1"/>
    <xf numFmtId="0" fontId="8" fillId="0" borderId="2" xfId="0" applyFont="1" applyBorder="1"/>
    <xf numFmtId="0" fontId="9" fillId="0" borderId="0" xfId="0" applyFont="1"/>
    <xf numFmtId="0" fontId="8" fillId="0" borderId="5" xfId="0" applyFont="1" applyBorder="1"/>
    <xf numFmtId="0" fontId="10" fillId="0" borderId="0" xfId="0" applyFont="1" applyAlignment="1">
      <alignment horizontal="center"/>
    </xf>
    <xf numFmtId="0" fontId="1" fillId="0" borderId="0" xfId="0" applyFont="1"/>
    <xf numFmtId="0" fontId="10" fillId="0" borderId="0" xfId="0" applyFont="1"/>
    <xf numFmtId="0" fontId="10" fillId="0" borderId="7" xfId="0" applyFont="1" applyBorder="1"/>
    <xf numFmtId="0" fontId="11" fillId="2" borderId="7" xfId="0" applyFont="1" applyFill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0" fillId="0" borderId="7" xfId="0" applyFont="1" applyBorder="1" applyAlignment="1"/>
    <xf numFmtId="0" fontId="11" fillId="12" borderId="7" xfId="0" applyFont="1" applyFill="1" applyBorder="1" applyAlignment="1">
      <alignment horizontal="left" vertical="center" wrapText="1"/>
    </xf>
    <xf numFmtId="0" fontId="11" fillId="6" borderId="7" xfId="0" applyFont="1" applyFill="1" applyBorder="1" applyAlignment="1">
      <alignment horizontal="left" vertical="center" wrapText="1"/>
    </xf>
    <xf numFmtId="0" fontId="10" fillId="0" borderId="0" xfId="0" applyFont="1" applyAlignment="1">
      <alignment wrapText="1"/>
    </xf>
    <xf numFmtId="0" fontId="11" fillId="11" borderId="7" xfId="0" applyFont="1" applyFill="1" applyBorder="1" applyAlignment="1">
      <alignment horizontal="left" vertical="center" wrapText="1"/>
    </xf>
    <xf numFmtId="0" fontId="11" fillId="13" borderId="7" xfId="0" applyFont="1" applyFill="1" applyBorder="1" applyAlignment="1">
      <alignment horizontal="left" vertical="center" wrapText="1"/>
    </xf>
    <xf numFmtId="0" fontId="10" fillId="0" borderId="0" xfId="0" applyFont="1" applyAlignment="1"/>
    <xf numFmtId="0" fontId="9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0" fillId="14" borderId="7" xfId="0" applyFont="1" applyFill="1" applyBorder="1"/>
    <xf numFmtId="0" fontId="10" fillId="0" borderId="8" xfId="0" applyFont="1" applyBorder="1"/>
    <xf numFmtId="0" fontId="12" fillId="0" borderId="7" xfId="0" applyFont="1" applyBorder="1" applyAlignment="1">
      <alignment horizontal="right" vertical="center" wrapText="1"/>
    </xf>
    <xf numFmtId="0" fontId="10" fillId="6" borderId="7" xfId="0" applyFont="1" applyFill="1" applyBorder="1" applyAlignment="1"/>
    <xf numFmtId="0" fontId="11" fillId="2" borderId="7" xfId="0" applyFont="1" applyFill="1" applyBorder="1" applyAlignment="1">
      <alignment horizontal="left" vertical="center" wrapText="1"/>
    </xf>
    <xf numFmtId="0" fontId="11" fillId="12" borderId="7" xfId="0" applyFont="1" applyFill="1" applyBorder="1" applyAlignment="1">
      <alignment horizontal="left" vertical="center" wrapText="1"/>
    </xf>
    <xf numFmtId="0" fontId="11" fillId="14" borderId="7" xfId="0" applyFont="1" applyFill="1" applyBorder="1" applyAlignment="1">
      <alignment horizontal="left" vertical="center" wrapText="1"/>
    </xf>
    <xf numFmtId="0" fontId="10" fillId="15" borderId="7" xfId="0" applyFont="1" applyFill="1" applyBorder="1"/>
    <xf numFmtId="0" fontId="10" fillId="15" borderId="9" xfId="0" applyFont="1" applyFill="1" applyBorder="1"/>
    <xf numFmtId="0" fontId="12" fillId="0" borderId="7" xfId="0" applyFont="1" applyBorder="1" applyAlignment="1">
      <alignment horizontal="left" vertical="center" wrapText="1"/>
    </xf>
    <xf numFmtId="0" fontId="11" fillId="11" borderId="7" xfId="0" applyFont="1" applyFill="1" applyBorder="1" applyAlignment="1">
      <alignment horizontal="left" vertical="center" wrapText="1"/>
    </xf>
    <xf numFmtId="0" fontId="11" fillId="13" borderId="7" xfId="0" applyFont="1" applyFill="1" applyBorder="1" applyAlignment="1">
      <alignment horizontal="left" vertical="center" wrapText="1"/>
    </xf>
    <xf numFmtId="0" fontId="0" fillId="0" borderId="0" xfId="0" applyFont="1" applyAlignment="1"/>
    <xf numFmtId="0" fontId="3" fillId="0" borderId="0" xfId="0" applyFont="1" applyAlignment="1"/>
    <xf numFmtId="164" fontId="0" fillId="0" borderId="0" xfId="0" applyNumberFormat="1" applyFont="1" applyAlignment="1"/>
    <xf numFmtId="0" fontId="0" fillId="3" borderId="0" xfId="0" applyFont="1" applyFill="1" applyAlignment="1"/>
    <xf numFmtId="0" fontId="3" fillId="0" borderId="0" xfId="0" applyFont="1" applyAlignment="1"/>
    <xf numFmtId="0" fontId="0" fillId="0" borderId="0" xfId="0" applyFont="1" applyAlignment="1"/>
    <xf numFmtId="0" fontId="1" fillId="0" borderId="1" xfId="0" applyFont="1" applyBorder="1" applyAlignment="1">
      <alignment horizontal="left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2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0" fontId="3" fillId="16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58"/>
  <sheetViews>
    <sheetView tabSelected="1" topLeftCell="A21" workbookViewId="0">
      <selection activeCell="F55" sqref="F55"/>
    </sheetView>
  </sheetViews>
  <sheetFormatPr defaultColWidth="14.453125" defaultRowHeight="15" customHeight="1"/>
  <cols>
    <col min="1" max="1" width="42.54296875" customWidth="1"/>
    <col min="3" max="3" width="0.453125" customWidth="1"/>
    <col min="4" max="4" width="42.1796875" customWidth="1"/>
  </cols>
  <sheetData>
    <row r="1" spans="1:7" ht="14.5">
      <c r="A1" s="46" t="s">
        <v>0</v>
      </c>
      <c r="B1" s="47"/>
      <c r="C1" s="48"/>
      <c r="D1" s="46" t="s">
        <v>111</v>
      </c>
      <c r="E1" t="s">
        <v>112</v>
      </c>
      <c r="F1" s="1"/>
    </row>
    <row r="2" spans="1:7" ht="4.5" customHeight="1">
      <c r="A2" s="49"/>
      <c r="B2" s="50"/>
      <c r="C2" s="51"/>
      <c r="D2" s="49"/>
    </row>
    <row r="3" spans="1:7" ht="14.5">
      <c r="A3" s="52" t="s">
        <v>1</v>
      </c>
      <c r="B3" s="45"/>
      <c r="C3" s="45"/>
      <c r="D3" s="45"/>
    </row>
    <row r="4" spans="1:7" ht="14.5">
      <c r="A4" s="2" t="s">
        <v>2</v>
      </c>
      <c r="B4" s="2" t="s">
        <v>3</v>
      </c>
    </row>
    <row r="5" spans="1:7" ht="14.5">
      <c r="A5" s="3" t="s">
        <v>107</v>
      </c>
      <c r="B5" t="s">
        <v>4</v>
      </c>
      <c r="D5" s="4">
        <v>3</v>
      </c>
      <c r="E5" s="45" t="s">
        <v>13</v>
      </c>
    </row>
    <row r="6" spans="1:7" ht="14.5">
      <c r="A6" s="3" t="s">
        <v>5</v>
      </c>
      <c r="B6" t="s">
        <v>6</v>
      </c>
      <c r="D6" s="4">
        <v>3</v>
      </c>
      <c r="E6" s="45"/>
      <c r="G6" s="5" t="e">
        <f>SUM(D5:D10,D15:D21,D27:D32,D39:D43,D48:D53,#REF!)</f>
        <v>#REF!</v>
      </c>
    </row>
    <row r="7" spans="1:7" ht="14.5">
      <c r="A7" s="3" t="s">
        <v>7</v>
      </c>
      <c r="B7" t="s">
        <v>4</v>
      </c>
      <c r="D7" s="4">
        <v>3</v>
      </c>
      <c r="E7" s="45"/>
      <c r="F7" s="1"/>
      <c r="G7" s="1"/>
    </row>
    <row r="8" spans="1:7" ht="14.5">
      <c r="A8" s="3" t="s">
        <v>8</v>
      </c>
      <c r="B8" s="40" t="s">
        <v>4</v>
      </c>
      <c r="D8" s="4">
        <v>3</v>
      </c>
      <c r="E8" s="45"/>
    </row>
    <row r="9" spans="1:7" ht="14.5">
      <c r="A9" s="3" t="s">
        <v>9</v>
      </c>
      <c r="B9" s="40" t="s">
        <v>4</v>
      </c>
      <c r="D9" s="4">
        <v>4</v>
      </c>
      <c r="E9" s="45"/>
    </row>
    <row r="10" spans="1:7" ht="14.5">
      <c r="A10" s="3"/>
      <c r="D10" s="4"/>
      <c r="E10" s="45"/>
    </row>
    <row r="11" spans="1:7" ht="14.5">
      <c r="A11" s="43" t="s">
        <v>27</v>
      </c>
      <c r="B11" s="42">
        <v>45751</v>
      </c>
      <c r="D11" s="4">
        <f>D5+D6+D7+D8+D9</f>
        <v>16</v>
      </c>
      <c r="E11" s="45"/>
    </row>
    <row r="13" spans="1:7" ht="14.5">
      <c r="A13" s="53" t="s">
        <v>10</v>
      </c>
      <c r="B13" s="45"/>
      <c r="C13" s="45"/>
      <c r="D13" s="45"/>
    </row>
    <row r="14" spans="1:7" ht="14.5">
      <c r="A14" s="6" t="s">
        <v>2</v>
      </c>
      <c r="B14" s="6" t="s">
        <v>11</v>
      </c>
      <c r="D14" s="6" t="s">
        <v>12</v>
      </c>
      <c r="E14" s="44" t="s">
        <v>13</v>
      </c>
    </row>
    <row r="15" spans="1:7" ht="14.5">
      <c r="A15" s="1" t="s">
        <v>14</v>
      </c>
      <c r="B15" t="s">
        <v>6</v>
      </c>
      <c r="D15" s="1">
        <v>3</v>
      </c>
      <c r="E15" s="45"/>
    </row>
    <row r="16" spans="1:7" ht="14.5">
      <c r="A16" s="1" t="s">
        <v>15</v>
      </c>
      <c r="B16" s="40" t="s">
        <v>4</v>
      </c>
      <c r="D16" s="1">
        <v>4</v>
      </c>
      <c r="E16" s="45"/>
    </row>
    <row r="17" spans="1:5" ht="14.5">
      <c r="A17" s="1" t="s">
        <v>16</v>
      </c>
      <c r="B17" t="s">
        <v>4</v>
      </c>
      <c r="D17" s="1">
        <v>3</v>
      </c>
      <c r="E17" s="45"/>
    </row>
    <row r="18" spans="1:5" ht="14.5">
      <c r="A18" s="1" t="s">
        <v>18</v>
      </c>
      <c r="B18" t="s">
        <v>4</v>
      </c>
      <c r="D18" s="1">
        <v>3</v>
      </c>
      <c r="E18" s="45"/>
    </row>
    <row r="19" spans="1:5" ht="14.5">
      <c r="A19" t="s">
        <v>109</v>
      </c>
      <c r="B19" s="40" t="s">
        <v>17</v>
      </c>
      <c r="D19" s="1">
        <v>3</v>
      </c>
      <c r="E19" s="45"/>
    </row>
    <row r="20" spans="1:5" ht="14.5">
      <c r="A20" t="s">
        <v>108</v>
      </c>
      <c r="B20" t="s">
        <v>4</v>
      </c>
      <c r="D20" s="1">
        <v>2</v>
      </c>
      <c r="E20" s="45"/>
    </row>
    <row r="21" spans="1:5" ht="14.5">
      <c r="D21" s="1"/>
      <c r="E21" s="45"/>
    </row>
    <row r="22" spans="1:5" ht="14.5">
      <c r="A22" s="43" t="s">
        <v>27</v>
      </c>
      <c r="B22" t="s">
        <v>113</v>
      </c>
      <c r="D22" s="1">
        <f>SUM(D15:D20)</f>
        <v>18</v>
      </c>
      <c r="E22" s="45"/>
    </row>
    <row r="23" spans="1:5" ht="14.5">
      <c r="B23" s="1"/>
    </row>
    <row r="25" spans="1:5" ht="14.5">
      <c r="A25" s="54" t="s">
        <v>20</v>
      </c>
      <c r="B25" s="45"/>
      <c r="C25" s="45"/>
      <c r="D25" s="45"/>
    </row>
    <row r="26" spans="1:5" ht="14.5">
      <c r="A26" s="6" t="s">
        <v>2</v>
      </c>
      <c r="B26" s="6" t="s">
        <v>11</v>
      </c>
      <c r="D26" s="6" t="s">
        <v>12</v>
      </c>
      <c r="E26" s="44" t="s">
        <v>13</v>
      </c>
    </row>
    <row r="27" spans="1:5" ht="14.5">
      <c r="A27" s="7" t="s">
        <v>21</v>
      </c>
      <c r="B27" s="1" t="s">
        <v>6</v>
      </c>
      <c r="D27" s="1">
        <v>4</v>
      </c>
      <c r="E27" s="45"/>
    </row>
    <row r="28" spans="1:5" ht="14.5">
      <c r="A28" s="1" t="s">
        <v>22</v>
      </c>
      <c r="B28" t="s">
        <v>6</v>
      </c>
      <c r="D28" s="1">
        <v>3</v>
      </c>
      <c r="E28" s="45"/>
    </row>
    <row r="29" spans="1:5" ht="14.5">
      <c r="A29" s="1" t="s">
        <v>23</v>
      </c>
      <c r="B29" s="40" t="s">
        <v>6</v>
      </c>
      <c r="D29" s="1">
        <v>3</v>
      </c>
      <c r="E29" s="45"/>
    </row>
    <row r="30" spans="1:5" ht="14.5">
      <c r="A30" s="1" t="s">
        <v>24</v>
      </c>
      <c r="B30" s="1" t="s">
        <v>6</v>
      </c>
      <c r="D30" s="1">
        <v>3</v>
      </c>
      <c r="E30" s="45"/>
    </row>
    <row r="31" spans="1:5" ht="14.5">
      <c r="A31" s="1" t="s">
        <v>25</v>
      </c>
      <c r="B31" s="40" t="s">
        <v>4</v>
      </c>
      <c r="D31" s="1">
        <v>3</v>
      </c>
      <c r="E31" s="45"/>
    </row>
    <row r="32" spans="1:5" ht="14.5">
      <c r="A32" s="1" t="s">
        <v>26</v>
      </c>
      <c r="B32" t="s">
        <v>6</v>
      </c>
      <c r="D32" s="1">
        <v>2</v>
      </c>
      <c r="E32" s="45"/>
    </row>
    <row r="33" spans="1:5" ht="14.5">
      <c r="A33" s="8" t="s">
        <v>27</v>
      </c>
      <c r="B33" s="42">
        <v>45751</v>
      </c>
      <c r="D33" s="5">
        <f>SUM(D27:D32)</f>
        <v>18</v>
      </c>
      <c r="E33" s="45"/>
    </row>
    <row r="34" spans="1:5" ht="14.5">
      <c r="A34" s="9"/>
      <c r="B34" s="1"/>
    </row>
    <row r="35" spans="1:5" ht="14.5">
      <c r="B35" s="1"/>
    </row>
    <row r="37" spans="1:5" ht="14.5">
      <c r="A37" s="55" t="s">
        <v>28</v>
      </c>
      <c r="B37" s="45"/>
      <c r="C37" s="45"/>
      <c r="D37" s="45"/>
    </row>
    <row r="38" spans="1:5" ht="14.5">
      <c r="A38" s="6" t="s">
        <v>2</v>
      </c>
      <c r="B38" s="6" t="s">
        <v>11</v>
      </c>
      <c r="D38" s="6" t="s">
        <v>12</v>
      </c>
    </row>
    <row r="39" spans="1:5" ht="14.5">
      <c r="A39" s="1" t="s">
        <v>29</v>
      </c>
      <c r="B39" s="1" t="s">
        <v>6</v>
      </c>
      <c r="D39" s="1">
        <v>4</v>
      </c>
    </row>
    <row r="40" spans="1:5" ht="14.5">
      <c r="A40" s="1" t="s">
        <v>30</v>
      </c>
      <c r="B40" s="40" t="s">
        <v>6</v>
      </c>
      <c r="D40" s="1">
        <v>4</v>
      </c>
    </row>
    <row r="41" spans="1:5" ht="14.5">
      <c r="A41" s="1" t="s">
        <v>31</v>
      </c>
      <c r="B41" s="40" t="s">
        <v>6</v>
      </c>
      <c r="D41" s="1">
        <v>3</v>
      </c>
    </row>
    <row r="42" spans="1:5" ht="14.5">
      <c r="A42" s="1" t="s">
        <v>32</v>
      </c>
      <c r="B42" s="1" t="s">
        <v>6</v>
      </c>
      <c r="D42" s="1">
        <v>2</v>
      </c>
    </row>
    <row r="43" spans="1:5" ht="14.5">
      <c r="A43" s="1" t="s">
        <v>33</v>
      </c>
      <c r="B43" s="40" t="s">
        <v>4</v>
      </c>
      <c r="D43" s="1">
        <v>3</v>
      </c>
    </row>
    <row r="44" spans="1:5" ht="14.5">
      <c r="A44" s="8" t="s">
        <v>27</v>
      </c>
      <c r="B44" s="42">
        <v>45751</v>
      </c>
      <c r="D44" s="1">
        <f>SUM(D39:D43)</f>
        <v>16</v>
      </c>
    </row>
    <row r="45" spans="1:5" ht="14.5">
      <c r="A45" s="57"/>
      <c r="B45" s="41"/>
    </row>
    <row r="46" spans="1:5" ht="14.5">
      <c r="A46" s="56" t="s">
        <v>34</v>
      </c>
      <c r="B46" s="45"/>
      <c r="C46" s="45"/>
      <c r="D46" s="45"/>
    </row>
    <row r="47" spans="1:5" ht="14.5">
      <c r="A47" s="6" t="s">
        <v>2</v>
      </c>
      <c r="B47" s="6" t="s">
        <v>11</v>
      </c>
      <c r="D47" s="6" t="s">
        <v>12</v>
      </c>
    </row>
    <row r="48" spans="1:5" ht="14.5">
      <c r="A48" s="1" t="s">
        <v>35</v>
      </c>
      <c r="B48" t="s">
        <v>4</v>
      </c>
      <c r="D48" s="1">
        <v>3</v>
      </c>
    </row>
    <row r="49" spans="1:4" ht="14.5">
      <c r="A49" s="1" t="s">
        <v>36</v>
      </c>
      <c r="B49" t="s">
        <v>6</v>
      </c>
      <c r="D49" s="1">
        <v>3</v>
      </c>
    </row>
    <row r="50" spans="1:4" ht="14.5">
      <c r="A50" s="1" t="s">
        <v>37</v>
      </c>
      <c r="B50" s="40" t="s">
        <v>6</v>
      </c>
      <c r="D50" s="1">
        <v>3</v>
      </c>
    </row>
    <row r="51" spans="1:4" ht="14.5">
      <c r="A51" s="1" t="s">
        <v>38</v>
      </c>
      <c r="B51" t="s">
        <v>4</v>
      </c>
      <c r="D51" s="1">
        <v>3</v>
      </c>
    </row>
    <row r="52" spans="1:4" ht="14.5">
      <c r="A52" s="1" t="s">
        <v>39</v>
      </c>
      <c r="B52" s="1" t="s">
        <v>17</v>
      </c>
      <c r="D52" s="1">
        <v>2</v>
      </c>
    </row>
    <row r="53" spans="1:4" ht="14.5">
      <c r="A53" s="1" t="s">
        <v>40</v>
      </c>
      <c r="B53" t="s">
        <v>17</v>
      </c>
      <c r="D53" s="1">
        <v>3</v>
      </c>
    </row>
    <row r="54" spans="1:4" ht="14.5">
      <c r="D54" s="1">
        <f>SUM(D48:D53)</f>
        <v>17</v>
      </c>
    </row>
    <row r="55" spans="1:4" ht="26.25" customHeight="1">
      <c r="A55" t="s">
        <v>27</v>
      </c>
      <c r="B55" t="s">
        <v>114</v>
      </c>
    </row>
    <row r="56" spans="1:4" ht="14.5">
      <c r="A56" t="s">
        <v>110</v>
      </c>
      <c r="B56" t="s">
        <v>115</v>
      </c>
      <c r="D56" s="1">
        <v>85</v>
      </c>
    </row>
    <row r="57" spans="1:4" ht="14.5">
      <c r="D57" s="1"/>
    </row>
    <row r="58" spans="1:4" ht="14.5">
      <c r="D58" s="1"/>
    </row>
  </sheetData>
  <mergeCells count="10">
    <mergeCell ref="A37:D37"/>
    <mergeCell ref="A46:D46"/>
    <mergeCell ref="E14:E22"/>
    <mergeCell ref="E26:E33"/>
    <mergeCell ref="A1:C2"/>
    <mergeCell ref="D1:D2"/>
    <mergeCell ref="A3:D3"/>
    <mergeCell ref="E5:E11"/>
    <mergeCell ref="A13:D13"/>
    <mergeCell ref="A25:D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3F3F3"/>
  </sheetPr>
  <dimension ref="A1:Z1005"/>
  <sheetViews>
    <sheetView workbookViewId="0"/>
  </sheetViews>
  <sheetFormatPr defaultColWidth="14.453125" defaultRowHeight="15" customHeight="1"/>
  <cols>
    <col min="1" max="1" width="8.7265625" customWidth="1"/>
    <col min="2" max="2" width="64.1796875" customWidth="1"/>
    <col min="3" max="3" width="7.26953125" hidden="1" customWidth="1"/>
    <col min="4" max="4" width="35.1796875" customWidth="1"/>
    <col min="5" max="5" width="8.7265625" customWidth="1"/>
    <col min="6" max="6" width="28.453125" customWidth="1"/>
    <col min="7" max="9" width="20.81640625" customWidth="1"/>
  </cols>
  <sheetData>
    <row r="1" spans="1:26" ht="14.5">
      <c r="A1" s="46" t="s">
        <v>0</v>
      </c>
      <c r="B1" s="48"/>
      <c r="C1" s="10"/>
      <c r="D1" s="46" t="s">
        <v>45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4.5">
      <c r="A2" s="49"/>
      <c r="B2" s="51"/>
      <c r="C2" s="12"/>
      <c r="D2" s="49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8.5">
      <c r="A3" s="13" t="s">
        <v>46</v>
      </c>
      <c r="B3" s="14" t="s">
        <v>47</v>
      </c>
      <c r="C3" s="14"/>
      <c r="D3" s="15" t="s">
        <v>48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8.5">
      <c r="A4" s="16">
        <v>1</v>
      </c>
      <c r="B4" s="17" t="s">
        <v>49</v>
      </c>
      <c r="C4" s="18">
        <v>3</v>
      </c>
      <c r="D4" s="19">
        <v>3</v>
      </c>
      <c r="E4" s="11"/>
      <c r="F4" s="14" t="s">
        <v>50</v>
      </c>
      <c r="G4" s="14" t="s">
        <v>51</v>
      </c>
      <c r="H4" s="14" t="s">
        <v>52</v>
      </c>
      <c r="I4" s="14" t="s">
        <v>53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8.5">
      <c r="A5" s="16">
        <f t="shared" ref="A5:A14" si="0">1+A4</f>
        <v>2</v>
      </c>
      <c r="B5" s="17" t="s">
        <v>9</v>
      </c>
      <c r="C5" s="18">
        <v>4</v>
      </c>
      <c r="D5" s="19">
        <v>4</v>
      </c>
      <c r="E5" s="11"/>
      <c r="F5" s="15" t="s">
        <v>47</v>
      </c>
      <c r="G5" s="13">
        <v>39</v>
      </c>
      <c r="H5" s="13">
        <f>D16</f>
        <v>30</v>
      </c>
      <c r="I5" s="13">
        <f t="shared" ref="I5:I11" si="1">G5-H5</f>
        <v>9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8.75" customHeight="1">
      <c r="A6" s="16">
        <f t="shared" si="0"/>
        <v>3</v>
      </c>
      <c r="B6" s="20" t="s">
        <v>15</v>
      </c>
      <c r="C6" s="21">
        <v>4</v>
      </c>
      <c r="D6" s="19">
        <v>4</v>
      </c>
      <c r="E6" s="11"/>
      <c r="F6" s="22" t="s">
        <v>54</v>
      </c>
      <c r="G6" s="13">
        <v>12</v>
      </c>
      <c r="H6" s="13">
        <f>D24</f>
        <v>18</v>
      </c>
      <c r="I6" s="13">
        <f t="shared" si="1"/>
        <v>-6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8.5">
      <c r="A7" s="16">
        <f t="shared" si="0"/>
        <v>4</v>
      </c>
      <c r="B7" s="20" t="s">
        <v>55</v>
      </c>
      <c r="C7" s="18">
        <v>3</v>
      </c>
      <c r="D7" s="19">
        <v>3</v>
      </c>
      <c r="E7" s="11"/>
      <c r="F7" s="15" t="s">
        <v>56</v>
      </c>
      <c r="G7" s="13">
        <v>24</v>
      </c>
      <c r="H7" s="13">
        <f>D34</f>
        <v>18</v>
      </c>
      <c r="I7" s="13">
        <f t="shared" si="1"/>
        <v>6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8.5">
      <c r="A8" s="16">
        <f t="shared" si="0"/>
        <v>5</v>
      </c>
      <c r="B8" s="23" t="s">
        <v>57</v>
      </c>
      <c r="C8" s="18">
        <v>4</v>
      </c>
      <c r="D8" s="19">
        <v>4</v>
      </c>
      <c r="E8" s="11"/>
      <c r="F8" s="15" t="s">
        <v>58</v>
      </c>
      <c r="G8" s="13">
        <v>15</v>
      </c>
      <c r="H8" s="13">
        <f>D53</f>
        <v>9</v>
      </c>
      <c r="I8" s="13">
        <f t="shared" si="1"/>
        <v>6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8.5">
      <c r="A9" s="16">
        <f t="shared" si="0"/>
        <v>6</v>
      </c>
      <c r="B9" s="24" t="s">
        <v>59</v>
      </c>
      <c r="C9" s="18">
        <v>4</v>
      </c>
      <c r="D9" s="19">
        <v>4</v>
      </c>
      <c r="E9" s="11"/>
      <c r="F9" s="15" t="s">
        <v>60</v>
      </c>
      <c r="G9" s="13">
        <v>19</v>
      </c>
      <c r="H9" s="13">
        <f>D62</f>
        <v>13</v>
      </c>
      <c r="I9" s="13">
        <f t="shared" si="1"/>
        <v>6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8.5">
      <c r="A10" s="16">
        <f t="shared" si="0"/>
        <v>7</v>
      </c>
      <c r="B10" s="24" t="s">
        <v>61</v>
      </c>
      <c r="C10" s="18">
        <v>4</v>
      </c>
      <c r="D10" s="19">
        <v>4</v>
      </c>
      <c r="E10" s="11"/>
      <c r="F10" s="25" t="s">
        <v>62</v>
      </c>
      <c r="G10" s="13">
        <v>12</v>
      </c>
      <c r="H10" s="13">
        <f>D74</f>
        <v>13</v>
      </c>
      <c r="I10" s="13">
        <f t="shared" si="1"/>
        <v>-1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8.5">
      <c r="A11" s="16">
        <f t="shared" si="0"/>
        <v>8</v>
      </c>
      <c r="B11" s="18" t="s">
        <v>63</v>
      </c>
      <c r="C11" s="18">
        <v>4</v>
      </c>
      <c r="D11" s="19">
        <v>4</v>
      </c>
      <c r="E11" s="11"/>
      <c r="F11" s="15" t="s">
        <v>64</v>
      </c>
      <c r="G11" s="13">
        <v>9</v>
      </c>
      <c r="H11" s="13">
        <f>D81</f>
        <v>6</v>
      </c>
      <c r="I11" s="13">
        <f t="shared" si="1"/>
        <v>3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8.5">
      <c r="A12" s="16">
        <f t="shared" si="0"/>
        <v>9</v>
      </c>
      <c r="B12" s="18" t="s">
        <v>65</v>
      </c>
      <c r="C12" s="18">
        <v>3</v>
      </c>
      <c r="D12" s="16"/>
      <c r="E12" s="11"/>
      <c r="F12" s="11"/>
      <c r="G12" s="26"/>
      <c r="H12" s="26"/>
      <c r="I12" s="26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8.5">
      <c r="A13" s="16">
        <f t="shared" si="0"/>
        <v>10</v>
      </c>
      <c r="B13" s="18" t="s">
        <v>66</v>
      </c>
      <c r="C13" s="18">
        <v>3</v>
      </c>
      <c r="D13" s="16"/>
      <c r="E13" s="11"/>
      <c r="F13" s="27" t="s">
        <v>67</v>
      </c>
      <c r="G13" s="13">
        <f t="shared" ref="G13:I13" si="2">SUM(G5:G11)</f>
        <v>130</v>
      </c>
      <c r="H13" s="13">
        <f t="shared" si="2"/>
        <v>107</v>
      </c>
      <c r="I13" s="13">
        <f t="shared" si="2"/>
        <v>23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8.5">
      <c r="A14" s="28">
        <f t="shared" si="0"/>
        <v>11</v>
      </c>
      <c r="B14" s="18" t="s">
        <v>68</v>
      </c>
      <c r="C14" s="18">
        <v>3</v>
      </c>
      <c r="D14" s="28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4.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8.5">
      <c r="A16" s="29"/>
      <c r="B16" s="30" t="s">
        <v>69</v>
      </c>
      <c r="C16" s="16">
        <f t="shared" ref="C16:D16" si="3">SUM(C4:C14)</f>
        <v>39</v>
      </c>
      <c r="D16" s="16">
        <f t="shared" si="3"/>
        <v>30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8.5">
      <c r="A17" s="15"/>
      <c r="B17" s="14" t="s">
        <v>54</v>
      </c>
      <c r="C17" s="14"/>
      <c r="D17" s="15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8.5">
      <c r="A18" s="16">
        <v>1</v>
      </c>
      <c r="B18" s="17" t="s">
        <v>7</v>
      </c>
      <c r="C18" s="21"/>
      <c r="D18" s="31">
        <v>3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5.75" customHeight="1">
      <c r="A19" s="16">
        <v>2</v>
      </c>
      <c r="B19" s="20" t="s">
        <v>16</v>
      </c>
      <c r="C19" s="18">
        <v>3</v>
      </c>
      <c r="D19" s="19">
        <v>3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5.75" customHeight="1">
      <c r="A20" s="16">
        <v>3</v>
      </c>
      <c r="B20" s="23" t="s">
        <v>25</v>
      </c>
      <c r="C20" s="18">
        <v>3</v>
      </c>
      <c r="D20" s="19">
        <v>3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5.75" customHeight="1">
      <c r="A21" s="16"/>
      <c r="B21" s="32" t="s">
        <v>70</v>
      </c>
      <c r="C21" s="21"/>
      <c r="D21" s="31">
        <v>3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5.75" customHeight="1">
      <c r="A22" s="16"/>
      <c r="B22" s="33" t="s">
        <v>71</v>
      </c>
      <c r="C22" s="21"/>
      <c r="D22" s="31">
        <v>3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5.75" customHeight="1">
      <c r="A23" s="16">
        <v>4</v>
      </c>
      <c r="B23" s="24" t="s">
        <v>33</v>
      </c>
      <c r="C23" s="21">
        <v>3</v>
      </c>
      <c r="D23" s="31">
        <v>3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5.75" customHeight="1">
      <c r="A24" s="29"/>
      <c r="B24" s="30" t="s">
        <v>69</v>
      </c>
      <c r="C24" s="16">
        <f t="shared" ref="C24:D24" si="4">SUM(C18:C23)</f>
        <v>9</v>
      </c>
      <c r="D24" s="16">
        <f t="shared" si="4"/>
        <v>18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5.75" customHeight="1">
      <c r="A25" s="15"/>
      <c r="B25" s="14" t="s">
        <v>56</v>
      </c>
      <c r="C25" s="14"/>
      <c r="D25" s="15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5.75" customHeight="1">
      <c r="A26" s="16">
        <v>1</v>
      </c>
      <c r="B26" s="23" t="s">
        <v>22</v>
      </c>
      <c r="C26" s="21">
        <v>3</v>
      </c>
      <c r="D26" s="19">
        <v>3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5.75" customHeight="1">
      <c r="A27" s="16">
        <v>2</v>
      </c>
      <c r="B27" s="24" t="s">
        <v>31</v>
      </c>
      <c r="C27" s="21">
        <v>3</v>
      </c>
      <c r="D27" s="19">
        <v>3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5.75" customHeight="1">
      <c r="A28" s="28">
        <v>3</v>
      </c>
      <c r="B28" s="21" t="s">
        <v>72</v>
      </c>
      <c r="C28" s="34">
        <v>3</v>
      </c>
      <c r="D28" s="19">
        <v>3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5.75" customHeight="1">
      <c r="A29" s="16">
        <v>4</v>
      </c>
      <c r="B29" s="18" t="s">
        <v>35</v>
      </c>
      <c r="C29" s="18">
        <v>3</v>
      </c>
      <c r="D29" s="19">
        <v>3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5.75" customHeight="1">
      <c r="A30" s="16">
        <v>5</v>
      </c>
      <c r="B30" s="18" t="s">
        <v>41</v>
      </c>
      <c r="C30" s="18">
        <v>3</v>
      </c>
      <c r="D30" s="19">
        <v>3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5.75" customHeight="1">
      <c r="A31" s="16">
        <v>6</v>
      </c>
      <c r="B31" s="18" t="s">
        <v>43</v>
      </c>
      <c r="C31" s="18">
        <v>3</v>
      </c>
      <c r="D31" s="19">
        <v>3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5.75" customHeight="1">
      <c r="A32" s="28">
        <v>7</v>
      </c>
      <c r="B32" s="34" t="s">
        <v>73</v>
      </c>
      <c r="C32" s="18">
        <v>3</v>
      </c>
      <c r="D32" s="16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5.75" customHeight="1">
      <c r="A33" s="28">
        <v>8</v>
      </c>
      <c r="B33" s="18" t="s">
        <v>44</v>
      </c>
      <c r="C33" s="18">
        <v>3</v>
      </c>
      <c r="D33" s="16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5.75" customHeight="1">
      <c r="A34" s="29"/>
      <c r="B34" s="30" t="s">
        <v>69</v>
      </c>
      <c r="C34" s="16">
        <f t="shared" ref="C34:D34" si="5">SUM(C26:C33)</f>
        <v>24</v>
      </c>
      <c r="D34" s="16">
        <f t="shared" si="5"/>
        <v>18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5.75" customHeight="1">
      <c r="A35" s="15"/>
      <c r="B35" s="14" t="s">
        <v>58</v>
      </c>
      <c r="C35" s="14"/>
      <c r="D35" s="15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5.75" customHeight="1">
      <c r="A36" s="16">
        <v>1</v>
      </c>
      <c r="B36" s="18" t="s">
        <v>74</v>
      </c>
      <c r="C36" s="18"/>
      <c r="D36" s="16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5.75" customHeight="1">
      <c r="A37" s="16">
        <f t="shared" ref="A37:A50" si="6">1+A36</f>
        <v>2</v>
      </c>
      <c r="B37" s="18" t="s">
        <v>75</v>
      </c>
      <c r="C37" s="18"/>
      <c r="D37" s="16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5.75" customHeight="1">
      <c r="A38" s="16">
        <f t="shared" si="6"/>
        <v>3</v>
      </c>
      <c r="B38" s="18" t="s">
        <v>76</v>
      </c>
      <c r="C38" s="18"/>
      <c r="D38" s="16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5.75" customHeight="1">
      <c r="A39" s="16">
        <f t="shared" si="6"/>
        <v>4</v>
      </c>
      <c r="B39" s="21" t="s">
        <v>77</v>
      </c>
      <c r="C39" s="21"/>
      <c r="D39" s="19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5.75" customHeight="1">
      <c r="A40" s="16">
        <f t="shared" si="6"/>
        <v>5</v>
      </c>
      <c r="B40" s="18" t="s">
        <v>78</v>
      </c>
      <c r="C40" s="18"/>
      <c r="D40" s="16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5.75" customHeight="1">
      <c r="A41" s="16">
        <f t="shared" si="6"/>
        <v>6</v>
      </c>
      <c r="B41" s="18" t="s">
        <v>37</v>
      </c>
      <c r="C41" s="18"/>
      <c r="D41" s="19">
        <v>3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5.75" customHeight="1">
      <c r="A42" s="16">
        <f t="shared" si="6"/>
        <v>7</v>
      </c>
      <c r="B42" s="18" t="s">
        <v>79</v>
      </c>
      <c r="C42" s="18"/>
      <c r="D42" s="16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5.75" customHeight="1">
      <c r="A43" s="16">
        <f t="shared" si="6"/>
        <v>8</v>
      </c>
      <c r="B43" s="18" t="s">
        <v>80</v>
      </c>
      <c r="C43" s="18"/>
      <c r="D43" s="16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5.75" customHeight="1">
      <c r="A44" s="16">
        <f t="shared" si="6"/>
        <v>9</v>
      </c>
      <c r="B44" s="18" t="s">
        <v>81</v>
      </c>
      <c r="C44" s="18"/>
      <c r="D44" s="16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5.75" customHeight="1">
      <c r="A45" s="16">
        <f t="shared" si="6"/>
        <v>10</v>
      </c>
      <c r="B45" s="18" t="s">
        <v>82</v>
      </c>
      <c r="C45" s="18"/>
      <c r="D45" s="16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5.75" customHeight="1">
      <c r="A46" s="16">
        <f t="shared" si="6"/>
        <v>11</v>
      </c>
      <c r="B46" s="18" t="s">
        <v>83</v>
      </c>
      <c r="C46" s="18"/>
      <c r="D46" s="16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5.75" customHeight="1">
      <c r="A47" s="16">
        <f t="shared" si="6"/>
        <v>12</v>
      </c>
      <c r="B47" s="18" t="s">
        <v>84</v>
      </c>
      <c r="C47" s="18"/>
      <c r="D47" s="16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5.75" customHeight="1">
      <c r="A48" s="16">
        <f t="shared" si="6"/>
        <v>13</v>
      </c>
      <c r="B48" s="18" t="s">
        <v>85</v>
      </c>
      <c r="C48" s="18"/>
      <c r="D48" s="16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5.75" customHeight="1">
      <c r="A49" s="16">
        <f t="shared" si="6"/>
        <v>14</v>
      </c>
      <c r="B49" s="18" t="s">
        <v>86</v>
      </c>
      <c r="C49" s="18"/>
      <c r="D49" s="19">
        <v>3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5.75" customHeight="1">
      <c r="A50" s="16">
        <f t="shared" si="6"/>
        <v>15</v>
      </c>
      <c r="B50" s="18" t="s">
        <v>87</v>
      </c>
      <c r="C50" s="18"/>
      <c r="D50" s="16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5.75" customHeight="1">
      <c r="A51" s="16">
        <v>16</v>
      </c>
      <c r="B51" s="18" t="s">
        <v>42</v>
      </c>
      <c r="C51" s="15"/>
      <c r="D51" s="19">
        <v>3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5.75" customHeight="1">
      <c r="A52" s="35">
        <v>17</v>
      </c>
      <c r="B52" s="18" t="s">
        <v>88</v>
      </c>
      <c r="C52" s="36"/>
      <c r="D52" s="16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5.75" customHeight="1">
      <c r="A53" s="29"/>
      <c r="B53" s="30" t="s">
        <v>69</v>
      </c>
      <c r="C53" s="30"/>
      <c r="D53" s="16">
        <f>SUM(D36:D52)</f>
        <v>9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5.75" customHeight="1">
      <c r="A54" s="15"/>
      <c r="B54" s="14" t="s">
        <v>89</v>
      </c>
      <c r="C54" s="14"/>
      <c r="D54" s="15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5.75" customHeight="1">
      <c r="A55" s="15">
        <v>1</v>
      </c>
      <c r="B55" s="32" t="s">
        <v>90</v>
      </c>
      <c r="C55" s="18">
        <v>3</v>
      </c>
      <c r="D55" s="19">
        <v>3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5.75" customHeight="1">
      <c r="A56" s="19">
        <v>2</v>
      </c>
      <c r="B56" s="17" t="s">
        <v>91</v>
      </c>
      <c r="C56" s="18">
        <v>3</v>
      </c>
      <c r="D56" s="19">
        <v>3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5.75" customHeight="1">
      <c r="A57" s="19">
        <v>3</v>
      </c>
      <c r="B57" s="23" t="s">
        <v>92</v>
      </c>
      <c r="C57" s="18">
        <v>2</v>
      </c>
      <c r="D57" s="19">
        <v>2</v>
      </c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5.75" customHeight="1">
      <c r="A58" s="19">
        <v>4</v>
      </c>
      <c r="B58" s="20" t="s">
        <v>93</v>
      </c>
      <c r="C58" s="18">
        <v>3</v>
      </c>
      <c r="D58" s="19">
        <v>3</v>
      </c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5.75" customHeight="1">
      <c r="A59" s="19">
        <v>5</v>
      </c>
      <c r="B59" s="20" t="s">
        <v>94</v>
      </c>
      <c r="C59" s="18">
        <v>2</v>
      </c>
      <c r="D59" s="19">
        <v>2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5.75" customHeight="1">
      <c r="A60" s="19">
        <v>6</v>
      </c>
      <c r="B60" s="18" t="s">
        <v>95</v>
      </c>
      <c r="C60" s="18">
        <v>3</v>
      </c>
      <c r="D60" s="16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5.75" customHeight="1">
      <c r="A61" s="16">
        <v>6</v>
      </c>
      <c r="B61" s="18" t="s">
        <v>96</v>
      </c>
      <c r="C61" s="18">
        <v>3</v>
      </c>
      <c r="D61" s="16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5.75" customHeight="1">
      <c r="A62" s="29"/>
      <c r="B62" s="30" t="s">
        <v>69</v>
      </c>
      <c r="C62" s="16">
        <f t="shared" ref="C62:D62" si="7">SUM(C55:C61)</f>
        <v>19</v>
      </c>
      <c r="D62" s="16">
        <f t="shared" si="7"/>
        <v>13</v>
      </c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5.75" customHeight="1">
      <c r="A63" s="29"/>
      <c r="B63" s="37" t="s">
        <v>97</v>
      </c>
      <c r="C63" s="18"/>
      <c r="D63" s="16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5.75" customHeight="1">
      <c r="A64" s="16">
        <v>1</v>
      </c>
      <c r="B64" s="20" t="s">
        <v>19</v>
      </c>
      <c r="C64" s="18">
        <v>3</v>
      </c>
      <c r="D64" s="19">
        <v>3</v>
      </c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5.75" customHeight="1">
      <c r="A65" s="16"/>
      <c r="B65" s="38" t="s">
        <v>98</v>
      </c>
      <c r="C65" s="18"/>
      <c r="D65" s="19">
        <v>3</v>
      </c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5.75" customHeight="1">
      <c r="A66" s="16"/>
      <c r="B66" s="38" t="s">
        <v>24</v>
      </c>
      <c r="C66" s="18">
        <v>2</v>
      </c>
      <c r="D66" s="19">
        <v>3</v>
      </c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5.75" customHeight="1">
      <c r="A67" s="16">
        <f>1+A64</f>
        <v>2</v>
      </c>
      <c r="B67" s="18" t="s">
        <v>99</v>
      </c>
      <c r="C67" s="18"/>
      <c r="D67" s="16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5.75" customHeight="1">
      <c r="A68" s="16">
        <f>1+A67</f>
        <v>3</v>
      </c>
      <c r="B68" s="18" t="s">
        <v>100</v>
      </c>
      <c r="C68" s="18"/>
      <c r="D68" s="16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5.75" customHeight="1">
      <c r="A69" s="19">
        <v>4</v>
      </c>
      <c r="B69" s="18" t="s">
        <v>101</v>
      </c>
      <c r="C69" s="18"/>
      <c r="D69" s="16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5.75" customHeight="1">
      <c r="A70" s="19">
        <v>5</v>
      </c>
      <c r="B70" s="39" t="s">
        <v>102</v>
      </c>
      <c r="C70" s="18"/>
      <c r="D70" s="19">
        <v>2</v>
      </c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5.75" customHeight="1">
      <c r="A71" s="19">
        <v>6</v>
      </c>
      <c r="B71" s="18" t="s">
        <v>103</v>
      </c>
      <c r="C71" s="18">
        <v>3</v>
      </c>
      <c r="D71" s="16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58.5" customHeight="1">
      <c r="A72" s="19">
        <v>7</v>
      </c>
      <c r="B72" s="24" t="s">
        <v>104</v>
      </c>
      <c r="C72" s="18">
        <v>2</v>
      </c>
      <c r="D72" s="19">
        <v>2</v>
      </c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57.75" customHeight="1">
      <c r="A73" s="19">
        <v>8</v>
      </c>
      <c r="B73" s="18" t="s">
        <v>104</v>
      </c>
      <c r="C73" s="18">
        <v>2</v>
      </c>
      <c r="D73" s="16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5.75" customHeight="1">
      <c r="A74" s="29"/>
      <c r="B74" s="30" t="s">
        <v>69</v>
      </c>
      <c r="C74" s="16">
        <f t="shared" ref="C74:D74" si="8">SUM(C64:C73)</f>
        <v>12</v>
      </c>
      <c r="D74" s="16">
        <f t="shared" si="8"/>
        <v>13</v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5.75" customHeight="1">
      <c r="A75" s="15"/>
      <c r="B75" s="14" t="s">
        <v>64</v>
      </c>
      <c r="C75" s="14"/>
      <c r="D75" s="15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5.75" customHeight="1">
      <c r="A76" s="16">
        <v>1</v>
      </c>
      <c r="B76" s="18" t="s">
        <v>105</v>
      </c>
      <c r="C76" s="18">
        <v>3</v>
      </c>
      <c r="D76" s="19">
        <v>3</v>
      </c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5.75" customHeight="1">
      <c r="A77" s="16">
        <f t="shared" ref="A77:A78" si="9">1+A76</f>
        <v>2</v>
      </c>
      <c r="B77" s="18" t="s">
        <v>106</v>
      </c>
      <c r="C77" s="18">
        <v>3</v>
      </c>
      <c r="D77" s="19">
        <v>3</v>
      </c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5.75" customHeight="1">
      <c r="A78" s="16">
        <f t="shared" si="9"/>
        <v>3</v>
      </c>
      <c r="B78" s="18" t="s">
        <v>83</v>
      </c>
      <c r="C78" s="18">
        <v>3</v>
      </c>
      <c r="D78" s="16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5.75" customHeight="1">
      <c r="A79" s="16"/>
      <c r="B79" s="18"/>
      <c r="C79" s="18"/>
      <c r="D79" s="16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5.75" customHeight="1">
      <c r="A80" s="16"/>
      <c r="B80" s="18"/>
      <c r="C80" s="18"/>
      <c r="D80" s="16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5.75" customHeight="1">
      <c r="A81" s="29"/>
      <c r="B81" s="30" t="s">
        <v>69</v>
      </c>
      <c r="C81" s="16">
        <f t="shared" ref="C81:D81" si="10">SUM(C76:C80)</f>
        <v>9</v>
      </c>
      <c r="D81" s="16">
        <f t="shared" si="10"/>
        <v>6</v>
      </c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 spans="1:26" ht="15.75" customHeight="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 spans="1:26" ht="15.75" customHeight="1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 spans="1:26" ht="15.75" customHeight="1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  <row r="1004" spans="1:26" ht="15.75" customHeight="1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</row>
    <row r="1005" spans="1:26" ht="15.75" customHeight="1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</row>
  </sheetData>
  <mergeCells count="2">
    <mergeCell ref="A1:B2"/>
    <mergeCell ref="D1:D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 Record</vt:lpstr>
      <vt:lpstr>Transcript 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Hajra Murtaza</dc:creator>
  <cp:lastModifiedBy>Nabiha Nasir</cp:lastModifiedBy>
  <dcterms:created xsi:type="dcterms:W3CDTF">2021-02-15T09:52:07Z</dcterms:created>
  <dcterms:modified xsi:type="dcterms:W3CDTF">2025-08-16T16:45:16Z</dcterms:modified>
</cp:coreProperties>
</file>